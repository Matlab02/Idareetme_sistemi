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ta\OneDrive\Desktop\"/>
    </mc:Choice>
  </mc:AlternateContent>
  <bookViews>
    <workbookView xWindow="0" yWindow="0" windowWidth="14380" windowHeight="4100"/>
  </bookViews>
  <sheets>
    <sheet name="Sheet1" sheetId="1" r:id="rId1"/>
  </sheets>
  <definedNames>
    <definedName name="_xlnm.Print_Area" localSheetId="0">Sheet1!$A$1:$G$53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17" i="1"/>
  <c r="G33" i="1" s="1"/>
  <c r="G34" i="1" s="1"/>
  <c r="G35" i="1" s="1"/>
</calcChain>
</file>

<file path=xl/sharedStrings.xml><?xml version="1.0" encoding="utf-8"?>
<sst xmlns="http://schemas.openxmlformats.org/spreadsheetml/2006/main" count="52" uniqueCount="36">
  <si>
    <t xml:space="preserve">Bakı şəhəri   </t>
  </si>
  <si>
    <t>№</t>
  </si>
  <si>
    <t>Malın (iş,xidmət) adı</t>
  </si>
  <si>
    <t>Ölçü vahidi</t>
  </si>
  <si>
    <t>Miqdarı</t>
  </si>
  <si>
    <t>Vahidin qiyməti</t>
  </si>
  <si>
    <t>Ümumi dəyəri</t>
  </si>
  <si>
    <t>Cəm</t>
  </si>
  <si>
    <t>Ədv</t>
  </si>
  <si>
    <t>Yekun</t>
  </si>
  <si>
    <t>ALICI</t>
  </si>
  <si>
    <t>SATICI</t>
  </si>
  <si>
    <t xml:space="preserve">“Azplom”  Məhdud Məsuliyyət Cəmiyyəti       </t>
  </si>
  <si>
    <t xml:space="preserve">İmza________________________  </t>
  </si>
  <si>
    <t>M.Y.</t>
  </si>
  <si>
    <t xml:space="preserve">Aşağıda qeyd olunan malların göndərilməsi haqqında çərçivə müqaviləsinin şərtlərinin əsasında sifariş olunmuşdur. </t>
  </si>
  <si>
    <t xml:space="preserve">"AzRosPromİnvest” Məhdud Məsuliyyət  Cəmiyyəti                                                     </t>
  </si>
  <si>
    <t>Yeyə yastı</t>
  </si>
  <si>
    <t>Ədəd </t>
  </si>
  <si>
    <t>Daxili yiv M16</t>
  </si>
  <si>
    <t>Ədəd</t>
  </si>
  <si>
    <t>Daxili yiv M8</t>
  </si>
  <si>
    <t>Daxili yiv M10</t>
  </si>
  <si>
    <t>Sverlo 13.8 </t>
  </si>
  <si>
    <t>Sverlo 6,8</t>
  </si>
  <si>
    <t>Sverlo Konus 30</t>
  </si>
  <si>
    <t>Sverlo  32</t>
  </si>
  <si>
    <t>Sverlo 40   36</t>
  </si>
  <si>
    <t>Sverlo 14</t>
  </si>
  <si>
    <t> Xarici yiv  </t>
  </si>
  <si>
    <t>Mərkəzi Burgu 3  3.15</t>
  </si>
  <si>
    <t> Mərkəzi Burgu 4    </t>
  </si>
  <si>
    <t>Mərkəzi Burgu 5   2.5</t>
  </si>
  <si>
    <t>Frez slindr 14</t>
  </si>
  <si>
    <t>Barmaq frez 16</t>
  </si>
  <si>
    <t>TƏHVİL TƏSLİM AKTI №368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</si>
</sst>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Roboto"/>
    </font>
    <font>
      <sz val="11"/>
      <color theme="1"/>
      <name val="Droid San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14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0" fontId="6" fillId="0" borderId="4" xfId="0" applyNumberFormat="1" applyFont="1" applyBorder="1" applyAlignment="1">
      <alignment horizontal="right" vertical="center"/>
    </xf>
    <xf numFmtId="0" fontId="6" fillId="0" borderId="5" xfId="0" applyNumberFormat="1" applyFont="1" applyBorder="1" applyAlignment="1">
      <alignment horizontal="right" vertical="center"/>
    </xf>
    <xf numFmtId="2" fontId="0" fillId="0" borderId="1" xfId="0" applyNumberFormat="1" applyBorder="1"/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527051</xdr:colOff>
      <xdr:row>0</xdr:row>
      <xdr:rowOff>31750</xdr:rowOff>
    </xdr:from>
    <xdr:to>
      <xdr:col>6</xdr:col>
      <xdr:colOff>755651</xdr:colOff>
      <xdr:row>6</xdr:row>
      <xdr:rowOff>111437</xdr:rowOff>
    </xdr:to>
    <xdr:pic>
      <xdr:nvPicPr>
        <xdr:cNvPr id="2" name="Şəkillər 1">
          <a:extLst>
            <a:ext uri="{FF2B5EF4-FFF2-40B4-BE49-F238E27FC236}">
              <a16:creationId xmlns:a16="http://schemas.microsoft.com/office/drawing/2014/main" id="{1D928648-6A50-5115-AA78-E4154BF8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1" y="31750"/>
          <a:ext cx="1206500" cy="1184587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  <xdr:twoCellAnchor editAs="oneCell">
    <xdr:from>
      <xdr:col>4</xdr:col>
      <xdr:colOff>381000</xdr:colOff>
      <xdr:row>44</xdr:row>
      <xdr:rowOff>146050</xdr:rowOff>
    </xdr:from>
    <xdr:to>
      <xdr:col>6</xdr:col>
      <xdr:colOff>43815</xdr:colOff>
      <xdr:row>53</xdr:row>
      <xdr:rowOff>12700</xdr:rowOff>
    </xdr:to>
    <xdr:pic>
      <xdr:nvPicPr>
        <xdr:cNvPr id="3" name="Şəkillər 7">
          <a:extLst>
            <a:ext uri="{FF2B5EF4-FFF2-40B4-BE49-F238E27FC236}">
              <a16:creationId xmlns:a16="http://schemas.microsoft.com/office/drawing/2014/main" id="{F267BD07-A0CE-D23E-68F6-92FE993E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7000" y="5949950"/>
          <a:ext cx="1523365" cy="1524000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  <xdr:twoCellAnchor editAs="oneCell">
    <xdr:from>
      <xdr:col>4</xdr:col>
      <xdr:colOff>146050</xdr:colOff>
      <xdr:row>43</xdr:row>
      <xdr:rowOff>31750</xdr:rowOff>
    </xdr:from>
    <xdr:to>
      <xdr:col>6</xdr:col>
      <xdr:colOff>98425</xdr:colOff>
      <xdr:row>49</xdr:row>
      <xdr:rowOff>135255</xdr:rowOff>
    </xdr:to>
    <xdr:pic>
      <xdr:nvPicPr>
        <xdr:cNvPr id="4" name="Şəkillər 4">
          <a:extLst>
            <a:ext uri="{FF2B5EF4-FFF2-40B4-BE49-F238E27FC236}">
              <a16:creationId xmlns:a16="http://schemas.microsoft.com/office/drawing/2014/main" id="{2BE9B2D4-D033-122A-937E-4F5955E62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2050" y="5651500"/>
          <a:ext cx="1812925" cy="1208405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topLeftCell="A10" workbookViewId="0">
      <selection activeCell="E17" sqref="E17:E26"/>
    </sheetView>
  </sheetViews>
  <sheetFormatPr defaultRowHeight="14.5"/>
  <cols>
    <col min="1" max="1" width="8.36328125" customWidth="1"/>
    <col min="2" max="4" width="12.7265625" customWidth="1"/>
    <col min="5" max="5" width="12.6328125" customWidth="1"/>
    <col min="6" max="6" width="14" customWidth="1"/>
    <col min="7" max="7" width="12.6328125" customWidth="1"/>
  </cols>
  <sheetData>
    <row r="1" spans="1:7">
      <c r="A1" s="12"/>
      <c r="B1" s="12"/>
      <c r="C1" s="12"/>
      <c r="D1" s="12"/>
      <c r="E1" s="12"/>
      <c r="F1" s="12"/>
      <c r="G1" s="12"/>
    </row>
    <row r="2" spans="1:7">
      <c r="A2" s="12"/>
      <c r="B2" s="12"/>
      <c r="C2" s="12"/>
      <c r="D2" s="12"/>
      <c r="E2" s="12"/>
      <c r="F2" s="12"/>
      <c r="G2" s="12"/>
    </row>
    <row r="3" spans="1:7">
      <c r="A3" s="12"/>
      <c r="B3" s="12"/>
      <c r="C3" s="12"/>
      <c r="D3" s="12"/>
      <c r="E3" s="12"/>
      <c r="F3" s="12"/>
      <c r="G3" s="12"/>
    </row>
    <row r="4" spans="1:7">
      <c r="A4" s="12"/>
      <c r="B4" s="12"/>
      <c r="C4" s="12"/>
      <c r="D4" s="12"/>
      <c r="E4" s="12"/>
      <c r="F4" s="12"/>
      <c r="G4" s="12"/>
    </row>
    <row r="5" spans="1:7">
      <c r="A5" s="12"/>
      <c r="B5" s="12"/>
      <c r="C5" s="12"/>
      <c r="D5" s="12"/>
      <c r="E5" s="12"/>
      <c r="F5" s="12"/>
      <c r="G5" s="12"/>
    </row>
    <row r="6" spans="1:7">
      <c r="A6" s="12"/>
      <c r="B6" s="12"/>
      <c r="C6" s="12"/>
      <c r="D6" s="12"/>
      <c r="E6" s="12"/>
      <c r="F6" s="12"/>
      <c r="G6" s="12"/>
    </row>
    <row r="7" spans="1:7">
      <c r="A7" s="12"/>
      <c r="B7" s="12"/>
      <c r="C7" s="12"/>
      <c r="D7" s="12"/>
      <c r="E7" s="12"/>
      <c r="F7" s="12"/>
      <c r="G7" s="12"/>
    </row>
    <row r="9" spans="1:7" ht="14.5" customHeight="1">
      <c r="A9" s="10" t="s">
        <v>0</v>
      </c>
      <c r="B9" s="10"/>
      <c r="C9" s="1"/>
      <c r="G9" s="8">
        <v>46245</v>
      </c>
    </row>
    <row r="11" spans="1:7" ht="14.5" customHeight="1">
      <c r="A11" s="11" t="s">
        <v>35</v>
      </c>
      <c r="B11" s="11"/>
      <c r="C11" s="11"/>
      <c r="D11" s="11"/>
      <c r="E11" s="11"/>
      <c r="F11" s="11"/>
      <c r="G11" s="11"/>
    </row>
    <row r="13" spans="1:7" ht="18.5" customHeight="1">
      <c r="A13" s="11" t="s">
        <v>15</v>
      </c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6" spans="1:7" ht="31.5" customHeight="1" thickBot="1">
      <c r="A16" s="2" t="s">
        <v>1</v>
      </c>
      <c r="B16" s="13" t="s">
        <v>2</v>
      </c>
      <c r="C16" s="13"/>
      <c r="D16" s="2" t="s">
        <v>3</v>
      </c>
      <c r="E16" s="2" t="s">
        <v>4</v>
      </c>
      <c r="F16" s="3" t="s">
        <v>5</v>
      </c>
      <c r="G16" s="2" t="s">
        <v>6</v>
      </c>
    </row>
    <row r="17" spans="1:7" ht="15" thickBot="1">
      <c r="A17" s="17">
        <v>1</v>
      </c>
      <c r="B17" s="27" t="s">
        <v>17</v>
      </c>
      <c r="C17" s="26"/>
      <c r="D17" s="18" t="s">
        <v>18</v>
      </c>
      <c r="E17" s="19">
        <v>10</v>
      </c>
      <c r="F17" s="24">
        <v>1.95</v>
      </c>
      <c r="G17" s="23">
        <f>SUM(E17*F17)</f>
        <v>19.5</v>
      </c>
    </row>
    <row r="18" spans="1:7" ht="15" thickBot="1">
      <c r="A18" s="20">
        <v>2</v>
      </c>
      <c r="B18" s="28" t="s">
        <v>19</v>
      </c>
      <c r="C18" s="29"/>
      <c r="D18" s="21" t="s">
        <v>20</v>
      </c>
      <c r="E18" s="22">
        <v>2</v>
      </c>
      <c r="F18" s="24">
        <v>11.7</v>
      </c>
      <c r="G18" s="23">
        <f t="shared" ref="G18:G32" si="0">SUM(E18*F18)</f>
        <v>23.4</v>
      </c>
    </row>
    <row r="19" spans="1:7" ht="15" thickBot="1">
      <c r="A19" s="20">
        <v>3</v>
      </c>
      <c r="B19" s="27" t="s">
        <v>21</v>
      </c>
      <c r="C19" s="26"/>
      <c r="D19" s="21" t="s">
        <v>20</v>
      </c>
      <c r="E19" s="22">
        <v>3</v>
      </c>
      <c r="F19" s="24">
        <v>13</v>
      </c>
      <c r="G19" s="23">
        <f t="shared" si="0"/>
        <v>39</v>
      </c>
    </row>
    <row r="20" spans="1:7" ht="15" thickBot="1">
      <c r="A20" s="20">
        <v>4</v>
      </c>
      <c r="B20" s="27" t="s">
        <v>22</v>
      </c>
      <c r="C20" s="26"/>
      <c r="D20" s="21" t="s">
        <v>20</v>
      </c>
      <c r="E20" s="22">
        <v>3</v>
      </c>
      <c r="F20" s="24">
        <v>5.2</v>
      </c>
      <c r="G20" s="23">
        <f t="shared" si="0"/>
        <v>15.600000000000001</v>
      </c>
    </row>
    <row r="21" spans="1:7" ht="15" thickBot="1">
      <c r="A21" s="20">
        <v>5</v>
      </c>
      <c r="B21" s="27" t="s">
        <v>23</v>
      </c>
      <c r="C21" s="26"/>
      <c r="D21" s="21" t="s">
        <v>20</v>
      </c>
      <c r="E21" s="22">
        <v>3</v>
      </c>
      <c r="F21" s="24">
        <v>11.7</v>
      </c>
      <c r="G21" s="23">
        <f t="shared" si="0"/>
        <v>35.099999999999994</v>
      </c>
    </row>
    <row r="22" spans="1:7" ht="15" thickBot="1">
      <c r="A22" s="20">
        <v>6</v>
      </c>
      <c r="B22" s="27" t="s">
        <v>24</v>
      </c>
      <c r="C22" s="26"/>
      <c r="D22" s="21" t="s">
        <v>20</v>
      </c>
      <c r="E22" s="22">
        <v>3</v>
      </c>
      <c r="F22" s="24">
        <v>2.6</v>
      </c>
      <c r="G22" s="23">
        <f t="shared" si="0"/>
        <v>7.8000000000000007</v>
      </c>
    </row>
    <row r="23" spans="1:7" ht="15" thickBot="1">
      <c r="A23" s="20">
        <v>7</v>
      </c>
      <c r="B23" s="27" t="s">
        <v>25</v>
      </c>
      <c r="C23" s="26"/>
      <c r="D23" s="21" t="s">
        <v>20</v>
      </c>
      <c r="E23" s="22">
        <v>1</v>
      </c>
      <c r="F23" s="24">
        <v>49.4</v>
      </c>
      <c r="G23" s="23">
        <f t="shared" si="0"/>
        <v>49.4</v>
      </c>
    </row>
    <row r="24" spans="1:7" ht="15" thickBot="1">
      <c r="A24" s="20">
        <v>8</v>
      </c>
      <c r="B24" s="27" t="s">
        <v>26</v>
      </c>
      <c r="C24" s="26"/>
      <c r="D24" s="21" t="s">
        <v>20</v>
      </c>
      <c r="E24" s="22">
        <v>1</v>
      </c>
      <c r="F24" s="24">
        <v>52</v>
      </c>
      <c r="G24" s="23">
        <f t="shared" si="0"/>
        <v>52</v>
      </c>
    </row>
    <row r="25" spans="1:7" ht="15" thickBot="1">
      <c r="A25" s="20">
        <v>9</v>
      </c>
      <c r="B25" s="27" t="s">
        <v>27</v>
      </c>
      <c r="C25" s="26"/>
      <c r="D25" s="21" t="s">
        <v>20</v>
      </c>
      <c r="E25" s="22">
        <v>1</v>
      </c>
      <c r="F25" s="24">
        <v>58.5</v>
      </c>
      <c r="G25" s="23">
        <f t="shared" si="0"/>
        <v>58.5</v>
      </c>
    </row>
    <row r="26" spans="1:7" ht="15" thickBot="1">
      <c r="A26" s="20">
        <v>10</v>
      </c>
      <c r="B26" s="27" t="s">
        <v>28</v>
      </c>
      <c r="C26" s="26"/>
      <c r="D26" s="21" t="s">
        <v>20</v>
      </c>
      <c r="E26" s="22">
        <v>2</v>
      </c>
      <c r="F26" s="24">
        <v>13</v>
      </c>
      <c r="G26" s="23">
        <f t="shared" si="0"/>
        <v>26</v>
      </c>
    </row>
    <row r="27" spans="1:7" ht="15" thickBot="1">
      <c r="A27" s="20">
        <v>11</v>
      </c>
      <c r="B27" s="27" t="s">
        <v>29</v>
      </c>
      <c r="C27" s="26"/>
      <c r="D27" s="21" t="s">
        <v>20</v>
      </c>
      <c r="E27" s="22">
        <v>2</v>
      </c>
      <c r="F27" s="24">
        <v>5.2</v>
      </c>
      <c r="G27" s="23">
        <f t="shared" si="0"/>
        <v>10.4</v>
      </c>
    </row>
    <row r="28" spans="1:7" ht="15" thickBot="1">
      <c r="A28" s="20">
        <v>12</v>
      </c>
      <c r="B28" s="27" t="s">
        <v>30</v>
      </c>
      <c r="C28" s="26"/>
      <c r="D28" s="21" t="s">
        <v>20</v>
      </c>
      <c r="E28" s="22">
        <v>1</v>
      </c>
      <c r="F28" s="24">
        <v>2.6</v>
      </c>
      <c r="G28" s="23">
        <f t="shared" si="0"/>
        <v>2.6</v>
      </c>
    </row>
    <row r="29" spans="1:7" ht="15" thickBot="1">
      <c r="A29" s="20">
        <v>13</v>
      </c>
      <c r="B29" s="27" t="s">
        <v>31</v>
      </c>
      <c r="C29" s="26"/>
      <c r="D29" s="21" t="s">
        <v>20</v>
      </c>
      <c r="E29" s="22">
        <v>1</v>
      </c>
      <c r="F29" s="24">
        <v>2.6</v>
      </c>
      <c r="G29" s="23">
        <f t="shared" si="0"/>
        <v>2.6</v>
      </c>
    </row>
    <row r="30" spans="1:7" ht="15" thickBot="1">
      <c r="A30" s="20">
        <v>14</v>
      </c>
      <c r="B30" s="27" t="s">
        <v>32</v>
      </c>
      <c r="C30" s="26"/>
      <c r="D30" s="21" t="s">
        <v>20</v>
      </c>
      <c r="E30" s="22">
        <v>1</v>
      </c>
      <c r="F30" s="24">
        <v>3.9</v>
      </c>
      <c r="G30" s="23">
        <f t="shared" si="0"/>
        <v>3.9</v>
      </c>
    </row>
    <row r="31" spans="1:7" ht="15" thickBot="1">
      <c r="A31" s="20">
        <v>15</v>
      </c>
      <c r="B31" s="27" t="s">
        <v>33</v>
      </c>
      <c r="C31" s="26"/>
      <c r="D31" s="21" t="s">
        <v>20</v>
      </c>
      <c r="E31" s="22">
        <v>2</v>
      </c>
      <c r="F31" s="24">
        <v>10.4</v>
      </c>
      <c r="G31" s="23">
        <f t="shared" si="0"/>
        <v>20.8</v>
      </c>
    </row>
    <row r="32" spans="1:7" ht="15" thickBot="1">
      <c r="A32" s="20">
        <v>16</v>
      </c>
      <c r="B32" s="27" t="s">
        <v>34</v>
      </c>
      <c r="C32" s="26"/>
      <c r="D32" s="21" t="s">
        <v>18</v>
      </c>
      <c r="E32" s="22">
        <v>1</v>
      </c>
      <c r="F32" s="24">
        <v>13</v>
      </c>
      <c r="G32" s="23">
        <f t="shared" si="0"/>
        <v>13</v>
      </c>
    </row>
    <row r="33" spans="1:7">
      <c r="F33" s="6" t="s">
        <v>7</v>
      </c>
      <c r="G33" s="7">
        <f>SUM(G17:G32)</f>
        <v>379.6</v>
      </c>
    </row>
    <row r="34" spans="1:7">
      <c r="F34" s="9" t="s">
        <v>8</v>
      </c>
      <c r="G34" s="25">
        <f>SUM(G33*18%)</f>
        <v>68.328000000000003</v>
      </c>
    </row>
    <row r="35" spans="1:7">
      <c r="F35" s="9" t="s">
        <v>9</v>
      </c>
      <c r="G35" s="25">
        <f>SUM(G34,G33)</f>
        <v>447.928</v>
      </c>
    </row>
    <row r="42" spans="1:7" ht="15.5">
      <c r="A42" s="15" t="s">
        <v>10</v>
      </c>
      <c r="B42" s="15"/>
      <c r="C42" s="15"/>
      <c r="E42" s="15" t="s">
        <v>11</v>
      </c>
      <c r="F42" s="15"/>
      <c r="G42" s="15"/>
    </row>
    <row r="43" spans="1:7" ht="14.5" customHeight="1">
      <c r="A43" s="11" t="s">
        <v>16</v>
      </c>
      <c r="B43" s="11"/>
      <c r="C43" s="11"/>
      <c r="E43" s="14" t="s">
        <v>12</v>
      </c>
      <c r="F43" s="14"/>
      <c r="G43" s="14"/>
    </row>
    <row r="44" spans="1:7">
      <c r="A44" s="11"/>
      <c r="B44" s="11"/>
      <c r="C44" s="11"/>
      <c r="E44" s="14"/>
      <c r="F44" s="14"/>
      <c r="G44" s="14"/>
    </row>
    <row r="48" spans="1:7">
      <c r="A48" s="16" t="s">
        <v>13</v>
      </c>
      <c r="B48" s="16"/>
      <c r="C48" s="16"/>
      <c r="E48" s="16" t="s">
        <v>13</v>
      </c>
      <c r="F48" s="16"/>
      <c r="G48" s="16"/>
    </row>
    <row r="49" spans="1:7">
      <c r="A49" s="16"/>
      <c r="B49" s="16"/>
      <c r="C49" s="16"/>
      <c r="E49" s="16"/>
      <c r="F49" s="16"/>
      <c r="G49" s="16"/>
    </row>
    <row r="50" spans="1:7">
      <c r="A50" s="4"/>
      <c r="B50" s="4"/>
      <c r="C50" s="4"/>
      <c r="E50" s="4"/>
      <c r="F50" s="4"/>
      <c r="G50" s="4"/>
    </row>
    <row r="51" spans="1:7">
      <c r="A51" s="4" t="s">
        <v>14</v>
      </c>
      <c r="B51" s="4"/>
      <c r="C51" s="4"/>
      <c r="E51" s="4" t="s">
        <v>14</v>
      </c>
      <c r="F51" s="4"/>
      <c r="G51" s="4"/>
    </row>
    <row r="52" spans="1:7">
      <c r="A52" s="5"/>
      <c r="B52" s="5"/>
      <c r="C52" s="5"/>
    </row>
  </sheetData>
  <mergeCells count="27">
    <mergeCell ref="B32:C32"/>
    <mergeCell ref="B27:C27"/>
    <mergeCell ref="B28:C28"/>
    <mergeCell ref="B29:C29"/>
    <mergeCell ref="B30:C30"/>
    <mergeCell ref="B31:C31"/>
    <mergeCell ref="B17:C17"/>
    <mergeCell ref="B23:C23"/>
    <mergeCell ref="B24:C24"/>
    <mergeCell ref="B25:C25"/>
    <mergeCell ref="B26:C26"/>
    <mergeCell ref="B18:C18"/>
    <mergeCell ref="B19:C19"/>
    <mergeCell ref="B20:C20"/>
    <mergeCell ref="B21:C21"/>
    <mergeCell ref="B22:C22"/>
    <mergeCell ref="A43:C44"/>
    <mergeCell ref="E43:G44"/>
    <mergeCell ref="A42:C42"/>
    <mergeCell ref="E42:G42"/>
    <mergeCell ref="A48:C49"/>
    <mergeCell ref="E48:G49"/>
    <mergeCell ref="A9:B9"/>
    <mergeCell ref="A13:G14"/>
    <mergeCell ref="A1:G7"/>
    <mergeCell ref="B16:C16"/>
    <mergeCell ref="A11:G11"/>
  </mergeCells>
  <pageMargins left="0.2" right="0.2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Alitass MMC</cp:lastModifiedBy>
  <cp:lastPrinted>2026-09-07T14:12:30Z</cp:lastPrinted>
  <dcterms:created xsi:type="dcterms:W3CDTF">2015-06-05T18:17:20Z</dcterms:created>
  <dcterms:modified xsi:type="dcterms:W3CDTF">2026-09-10T05:07:08Z</dcterms:modified>
</cp:coreProperties>
</file>